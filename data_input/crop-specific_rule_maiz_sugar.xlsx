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ario_outputs\maize_sugarcane_reduction_tables\M2\"/>
    </mc:Choice>
  </mc:AlternateContent>
  <xr:revisionPtr revIDLastSave="0" documentId="13_ncr:1_{630702CF-B06F-4666-ADD9-FB38C3670E80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D10" i="1"/>
  <c r="D5" i="1"/>
  <c r="F4" i="1"/>
  <c r="E4" i="1"/>
  <c r="D4" i="1"/>
</calcChain>
</file>

<file path=xl/sharedStrings.xml><?xml version="1.0" encoding="utf-8"?>
<sst xmlns="http://schemas.openxmlformats.org/spreadsheetml/2006/main" count="51" uniqueCount="25">
  <si>
    <t>Crop</t>
  </si>
  <si>
    <t>Constraint</t>
  </si>
  <si>
    <t>Type</t>
  </si>
  <si>
    <t>Optimal</t>
  </si>
  <si>
    <t>Sub-Optimal</t>
  </si>
  <si>
    <t>Not-Suitable</t>
  </si>
  <si>
    <t>L6a+L6b</t>
  </si>
  <si>
    <t>L5a+L5b</t>
  </si>
  <si>
    <t>L4a+L4b</t>
  </si>
  <si>
    <t>≤</t>
  </si>
  <si>
    <t>sugarcane</t>
  </si>
  <si>
    <t>≥</t>
  </si>
  <si>
    <t>maize</t>
  </si>
  <si>
    <t>N6a+N6b</t>
  </si>
  <si>
    <t>N6a+N5a+N5b+N6b</t>
  </si>
  <si>
    <t>N5a+N4a+N4b+N5b</t>
  </si>
  <si>
    <t>N4a+N3a+N3b+N4b</t>
  </si>
  <si>
    <t>maiz49</t>
  </si>
  <si>
    <t>L6a</t>
  </si>
  <si>
    <t>L6b</t>
  </si>
  <si>
    <t>L2a+L2b</t>
  </si>
  <si>
    <t>L1a+L1b</t>
  </si>
  <si>
    <t>L2b+L3b+L4b+L5b</t>
  </si>
  <si>
    <t>N3b+N4b+N5b+N6b-(L3b+L4b+L5b)</t>
  </si>
  <si>
    <t>winter_wheat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</si>
</sst>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45" zoomScaleNormal="145" workbookViewId="0">
      <selection activeCell="E14" sqref="E14"/>
    </sheetView>
  </sheetViews>
  <sheetFormatPr defaultRowHeight="15" x14ac:dyDescent="0.25"/>
  <cols>
    <col min="1" max="1" width="25.85546875" customWidth="1"/>
    <col min="2" max="2" width="32.140625" bestFit="1" customWidth="1"/>
    <col min="3" max="3" width="5.28515625" bestFit="1" customWidth="1"/>
    <col min="4" max="4" width="11.5703125" customWidth="1"/>
    <col min="5" max="5" width="12.140625" bestFit="1" customWidth="1"/>
    <col min="6" max="6" width="12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 t="s">
        <v>12</v>
      </c>
      <c r="B2" s="2" t="s">
        <v>6</v>
      </c>
      <c r="C2" s="2" t="s">
        <v>9</v>
      </c>
      <c r="D2" s="2">
        <v>0</v>
      </c>
      <c r="E2" s="2">
        <v>0</v>
      </c>
      <c r="F2" s="2">
        <v>0</v>
      </c>
    </row>
    <row r="3" spans="1:6" x14ac:dyDescent="0.25">
      <c r="A3" s="2" t="s">
        <v>12</v>
      </c>
      <c r="B3" s="2" t="s">
        <v>7</v>
      </c>
      <c r="C3" s="2" t="s">
        <v>9</v>
      </c>
      <c r="D3" s="2">
        <v>0</v>
      </c>
      <c r="E3" s="2">
        <v>0</v>
      </c>
      <c r="F3" s="2">
        <v>0</v>
      </c>
    </row>
    <row r="4" spans="1:6" x14ac:dyDescent="0.25">
      <c r="A4" s="2" t="s">
        <v>12</v>
      </c>
      <c r="B4" s="2" t="s">
        <v>8</v>
      </c>
      <c r="C4" s="2" t="s">
        <v>9</v>
      </c>
      <c r="D4" s="2">
        <f xml:space="preserve"> 0* 90</f>
        <v>0</v>
      </c>
      <c r="E4" s="2">
        <f xml:space="preserve"> 0.167*90</f>
        <v>15.030000000000001</v>
      </c>
      <c r="F4" s="2">
        <f xml:space="preserve"> 0.167*90</f>
        <v>15.030000000000001</v>
      </c>
    </row>
    <row r="5" spans="1:6" x14ac:dyDescent="0.25">
      <c r="A5" s="2" t="s">
        <v>10</v>
      </c>
      <c r="B5" s="3" t="s">
        <v>13</v>
      </c>
      <c r="C5" s="4" t="s">
        <v>9</v>
      </c>
      <c r="D5" s="3">
        <f>0*365</f>
        <v>0</v>
      </c>
      <c r="E5" s="3">
        <v>61</v>
      </c>
      <c r="F5" s="3">
        <v>61</v>
      </c>
    </row>
    <row r="6" spans="1:6" x14ac:dyDescent="0.25">
      <c r="A6" s="2" t="s">
        <v>10</v>
      </c>
      <c r="B6" s="3" t="s">
        <v>14</v>
      </c>
      <c r="C6" s="2" t="s">
        <v>9</v>
      </c>
      <c r="D6" s="3">
        <v>61</v>
      </c>
      <c r="E6" s="3">
        <v>122</v>
      </c>
      <c r="F6" s="3">
        <v>122</v>
      </c>
    </row>
    <row r="7" spans="1:6" x14ac:dyDescent="0.25">
      <c r="A7" s="2" t="s">
        <v>10</v>
      </c>
      <c r="B7" s="3" t="s">
        <v>15</v>
      </c>
      <c r="C7" s="2" t="s">
        <v>9</v>
      </c>
      <c r="D7" s="3">
        <v>243</v>
      </c>
      <c r="E7" s="3">
        <v>243</v>
      </c>
      <c r="F7" s="3">
        <v>243</v>
      </c>
    </row>
    <row r="8" spans="1:6" x14ac:dyDescent="0.25">
      <c r="A8" s="2" t="s">
        <v>10</v>
      </c>
      <c r="B8" s="3" t="s">
        <v>16</v>
      </c>
      <c r="C8" s="2" t="s">
        <v>11</v>
      </c>
      <c r="D8" s="3">
        <v>30</v>
      </c>
      <c r="E8" s="3">
        <v>0</v>
      </c>
      <c r="F8" s="3">
        <v>0</v>
      </c>
    </row>
    <row r="9" spans="1:6" x14ac:dyDescent="0.25">
      <c r="A9" t="s">
        <v>17</v>
      </c>
      <c r="B9" s="1" t="s">
        <v>6</v>
      </c>
      <c r="C9" t="s">
        <v>9</v>
      </c>
      <c r="D9">
        <v>0</v>
      </c>
      <c r="E9">
        <v>0</v>
      </c>
      <c r="F9">
        <v>0</v>
      </c>
    </row>
    <row r="10" spans="1:6" x14ac:dyDescent="0.25">
      <c r="A10" t="s">
        <v>17</v>
      </c>
      <c r="B10" s="1" t="s">
        <v>7</v>
      </c>
      <c r="C10" t="s">
        <v>9</v>
      </c>
      <c r="D10">
        <f>0.2*135</f>
        <v>27</v>
      </c>
      <c r="E10">
        <f>0.25*135</f>
        <v>33.75</v>
      </c>
      <c r="F10">
        <f>0.25*135</f>
        <v>33.75</v>
      </c>
    </row>
    <row r="11" spans="1:6" x14ac:dyDescent="0.25">
      <c r="A11" t="s">
        <v>24</v>
      </c>
      <c r="B11" t="s">
        <v>18</v>
      </c>
      <c r="C11" t="s">
        <v>9</v>
      </c>
      <c r="D11">
        <v>105</v>
      </c>
      <c r="E11">
        <v>140</v>
      </c>
      <c r="F11">
        <v>140</v>
      </c>
    </row>
    <row r="12" spans="1:6" x14ac:dyDescent="0.25">
      <c r="A12" t="s">
        <v>24</v>
      </c>
      <c r="B12" t="s">
        <v>19</v>
      </c>
      <c r="C12" t="s">
        <v>9</v>
      </c>
      <c r="D12">
        <v>0</v>
      </c>
      <c r="E12">
        <v>0</v>
      </c>
      <c r="F12">
        <v>0</v>
      </c>
    </row>
    <row r="13" spans="1:6" x14ac:dyDescent="0.25">
      <c r="A13" t="s">
        <v>24</v>
      </c>
      <c r="B13" t="s">
        <v>20</v>
      </c>
      <c r="C13" t="s">
        <v>9</v>
      </c>
      <c r="D13">
        <v>70</v>
      </c>
      <c r="E13">
        <v>84</v>
      </c>
      <c r="F13">
        <v>70</v>
      </c>
    </row>
    <row r="14" spans="1:6" x14ac:dyDescent="0.25">
      <c r="A14" t="s">
        <v>24</v>
      </c>
      <c r="B14" t="s">
        <v>21</v>
      </c>
      <c r="C14" t="s">
        <v>9</v>
      </c>
      <c r="D14">
        <v>0</v>
      </c>
      <c r="E14">
        <v>0</v>
      </c>
      <c r="F14">
        <v>0</v>
      </c>
    </row>
    <row r="15" spans="1:6" x14ac:dyDescent="0.25">
      <c r="A15" t="s">
        <v>24</v>
      </c>
      <c r="B15" t="s">
        <v>22</v>
      </c>
      <c r="C15" t="s">
        <v>9</v>
      </c>
      <c r="D15">
        <v>105</v>
      </c>
      <c r="E15">
        <v>105</v>
      </c>
      <c r="F15">
        <v>105</v>
      </c>
    </row>
    <row r="16" spans="1:6" x14ac:dyDescent="0.25">
      <c r="A16" t="s">
        <v>24</v>
      </c>
      <c r="B16" t="s">
        <v>23</v>
      </c>
      <c r="C16" t="s">
        <v>11</v>
      </c>
      <c r="D16">
        <v>0</v>
      </c>
      <c r="E16">
        <v>0</v>
      </c>
      <c r="F16">
        <v>0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4D41C708CC54AABC64DB9F8EC5160" ma:contentTypeVersion="16" ma:contentTypeDescription="Create a new document." ma:contentTypeScope="" ma:versionID="8280e7c680d5d724f4413038ca100d1d">
  <xsd:schema xmlns:xsd="http://www.w3.org/2001/XMLSchema" xmlns:xs="http://www.w3.org/2001/XMLSchema" xmlns:p="http://schemas.microsoft.com/office/2006/metadata/properties" xmlns:ns2="aecedfd1-a701-4d39-be9b-da32a8dfc2a5" xmlns:ns3="6cc8ca2e-56d8-406d-8e41-68c6b727753a" targetNamespace="http://schemas.microsoft.com/office/2006/metadata/properties" ma:root="true" ma:fieldsID="a78283ead66d0e44d8e1b525c3947135" ns2:_="" ns3:_="">
    <xsd:import namespace="aecedfd1-a701-4d39-be9b-da32a8dfc2a5"/>
    <xsd:import namespace="6cc8ca2e-56d8-406d-8e41-68c6b72775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edfd1-a701-4d39-be9b-da32a8dfc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70eea2c-645a-430f-a841-8bf9f54459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8ca2e-56d8-406d-8e41-68c6b72775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652e84b-2902-41ff-b436-4ac31d16ee34}" ma:internalName="TaxCatchAll" ma:showField="CatchAllData" ma:web="6cc8ca2e-56d8-406d-8e41-68c6b72775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F6540B-C062-42AF-84FC-7EE9BBC15D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edfd1-a701-4d39-be9b-da32a8dfc2a5"/>
    <ds:schemaRef ds:uri="6cc8ca2e-56d8-406d-8e41-68c6b72775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9F62A5-0DB5-4AC7-AA2B-89AAFA4EBE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Swun Wunna Htet</dc:creator>
  <cp:lastModifiedBy>Swun Wunna Htet</cp:lastModifiedBy>
  <dcterms:created xsi:type="dcterms:W3CDTF">2015-06-05T18:17:20Z</dcterms:created>
  <dcterms:modified xsi:type="dcterms:W3CDTF">2025-04-11T04:37:15Z</dcterms:modified>
</cp:coreProperties>
</file>